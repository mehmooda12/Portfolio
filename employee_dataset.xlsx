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1_{15E85F7B-1830-4F68-8411-AA2318BD1A26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Employe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C28" i="1"/>
  <c r="C27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C26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C25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3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Y23" i="1"/>
  <c r="Z23" i="1"/>
  <c r="AA23" i="1"/>
  <c r="AB23" i="1"/>
  <c r="X13" i="1"/>
  <c r="X14" i="1"/>
  <c r="X15" i="1"/>
  <c r="X16" i="1"/>
  <c r="X17" i="1"/>
  <c r="X18" i="1"/>
  <c r="X19" i="1"/>
  <c r="X20" i="1"/>
  <c r="X21" i="1"/>
  <c r="X22" i="1"/>
  <c r="X23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S13" i="1"/>
  <c r="S14" i="1"/>
  <c r="S15" i="1"/>
  <c r="S16" i="1"/>
  <c r="S17" i="1"/>
  <c r="S18" i="1"/>
  <c r="S19" i="1"/>
  <c r="S20" i="1"/>
  <c r="S21" i="1"/>
  <c r="S22" i="1"/>
  <c r="S23" i="1"/>
  <c r="S12" i="1"/>
  <c r="N22" i="1"/>
  <c r="O22" i="1"/>
  <c r="P22" i="1"/>
  <c r="Q22" i="1"/>
  <c r="R22" i="1"/>
  <c r="N23" i="1"/>
  <c r="O23" i="1"/>
  <c r="P23" i="1"/>
  <c r="Q23" i="1"/>
  <c r="R23" i="1"/>
  <c r="O21" i="1"/>
  <c r="P21" i="1"/>
  <c r="Q21" i="1"/>
  <c r="R21" i="1"/>
  <c r="N2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I13" i="1"/>
  <c r="I14" i="1"/>
  <c r="I15" i="1"/>
  <c r="I16" i="1"/>
  <c r="I17" i="1"/>
  <c r="I18" i="1"/>
  <c r="I19" i="1"/>
  <c r="I20" i="1"/>
  <c r="I21" i="1"/>
  <c r="I22" i="1"/>
  <c r="I23" i="1"/>
  <c r="N20" i="1"/>
  <c r="O20" i="1"/>
  <c r="P20" i="1"/>
  <c r="Q20" i="1"/>
  <c r="R20" i="1"/>
  <c r="N19" i="1"/>
  <c r="O19" i="1"/>
  <c r="P19" i="1"/>
  <c r="Q19" i="1"/>
  <c r="R19" i="1"/>
  <c r="N18" i="1"/>
  <c r="O18" i="1"/>
  <c r="P18" i="1"/>
  <c r="Q18" i="1"/>
  <c r="R18" i="1"/>
  <c r="N17" i="1"/>
  <c r="O17" i="1"/>
  <c r="P17" i="1"/>
  <c r="Q17" i="1"/>
  <c r="R17" i="1"/>
  <c r="N16" i="1"/>
  <c r="O16" i="1"/>
  <c r="P16" i="1"/>
  <c r="Q16" i="1"/>
  <c r="R16" i="1"/>
  <c r="N15" i="1"/>
  <c r="O15" i="1"/>
  <c r="P15" i="1"/>
  <c r="Q15" i="1"/>
  <c r="R15" i="1"/>
  <c r="N14" i="1"/>
  <c r="O14" i="1"/>
  <c r="P14" i="1"/>
  <c r="Q14" i="1"/>
  <c r="R14" i="1"/>
  <c r="N13" i="1"/>
  <c r="O13" i="1"/>
  <c r="P13" i="1"/>
  <c r="Q13" i="1"/>
  <c r="R13" i="1"/>
  <c r="X4" i="1"/>
  <c r="Y4" i="1"/>
  <c r="Z4" i="1"/>
  <c r="AA4" i="1"/>
  <c r="AB4" i="1"/>
  <c r="X5" i="1"/>
  <c r="Y5" i="1"/>
  <c r="Z5" i="1"/>
  <c r="AA5" i="1"/>
  <c r="AB5" i="1"/>
  <c r="X6" i="1"/>
  <c r="Y6" i="1"/>
  <c r="Z6" i="1"/>
  <c r="AA6" i="1"/>
  <c r="AB6" i="1"/>
  <c r="X7" i="1"/>
  <c r="Y7" i="1"/>
  <c r="Z7" i="1"/>
  <c r="AA7" i="1"/>
  <c r="AB7" i="1"/>
  <c r="X8" i="1"/>
  <c r="Y8" i="1"/>
  <c r="Z8" i="1"/>
  <c r="AA8" i="1"/>
  <c r="AB8" i="1"/>
  <c r="X9" i="1"/>
  <c r="Y9" i="1"/>
  <c r="Z9" i="1"/>
  <c r="AA9" i="1"/>
  <c r="AB9" i="1"/>
  <c r="X10" i="1"/>
  <c r="Y10" i="1"/>
  <c r="Z10" i="1"/>
  <c r="AA10" i="1"/>
  <c r="AB10" i="1"/>
  <c r="X11" i="1"/>
  <c r="Y11" i="1"/>
  <c r="Z11" i="1"/>
  <c r="AA11" i="1"/>
  <c r="AB11" i="1"/>
  <c r="X12" i="1"/>
  <c r="Y3" i="1"/>
  <c r="Z3" i="1"/>
  <c r="AA3" i="1"/>
  <c r="AB3" i="1"/>
  <c r="Z2" i="1"/>
  <c r="AA2" i="1"/>
  <c r="AB2" i="1"/>
  <c r="Y2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U3" i="1"/>
  <c r="V3" i="1"/>
  <c r="W3" i="1"/>
  <c r="T3" i="1"/>
  <c r="U2" i="1"/>
  <c r="V2" i="1"/>
  <c r="W2" i="1"/>
  <c r="T2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P3" i="1"/>
  <c r="Q3" i="1"/>
  <c r="R3" i="1"/>
  <c r="O3" i="1"/>
  <c r="O2" i="1"/>
  <c r="P2" i="1" s="1"/>
  <c r="Q2" i="1" s="1"/>
  <c r="R2" i="1" s="1"/>
  <c r="M4" i="1"/>
  <c r="M5" i="1"/>
  <c r="M6" i="1"/>
  <c r="M7" i="1"/>
  <c r="M8" i="1"/>
  <c r="M9" i="1"/>
  <c r="M10" i="1"/>
  <c r="M11" i="1"/>
  <c r="M3" i="1"/>
  <c r="L4" i="1"/>
  <c r="L5" i="1"/>
  <c r="L6" i="1"/>
  <c r="L7" i="1"/>
  <c r="L8" i="1"/>
  <c r="L9" i="1"/>
  <c r="L10" i="1"/>
  <c r="L11" i="1"/>
  <c r="L3" i="1"/>
  <c r="K4" i="1"/>
  <c r="K5" i="1"/>
  <c r="K6" i="1"/>
  <c r="K7" i="1"/>
  <c r="K8" i="1"/>
  <c r="K9" i="1"/>
  <c r="K10" i="1"/>
  <c r="K11" i="1"/>
  <c r="K3" i="1"/>
  <c r="J4" i="1"/>
  <c r="J5" i="1"/>
  <c r="J6" i="1"/>
  <c r="J7" i="1"/>
  <c r="J8" i="1"/>
  <c r="J9" i="1"/>
  <c r="J10" i="1"/>
  <c r="J11" i="1"/>
  <c r="J3" i="1"/>
  <c r="J2" i="1"/>
  <c r="K2" i="1" s="1"/>
  <c r="L2" i="1" s="1"/>
  <c r="M2" i="1" s="1"/>
  <c r="I4" i="1"/>
  <c r="S4" i="1" s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I3" i="1"/>
  <c r="S3" i="1" s="1"/>
  <c r="N4" i="1"/>
  <c r="N5" i="1"/>
  <c r="N6" i="1"/>
  <c r="N7" i="1"/>
  <c r="N8" i="1"/>
  <c r="N9" i="1"/>
  <c r="N10" i="1"/>
  <c r="N11" i="1"/>
  <c r="N12" i="1"/>
  <c r="N3" i="1"/>
  <c r="X3" i="1" l="1"/>
</calcChain>
</file>

<file path=xl/sharedStrings.xml><?xml version="1.0" encoding="utf-8"?>
<sst xmlns="http://schemas.openxmlformats.org/spreadsheetml/2006/main" count="55" uniqueCount="43">
  <si>
    <t>First Name</t>
  </si>
  <si>
    <t>Last Name</t>
  </si>
  <si>
    <t>Hourly Wage</t>
  </si>
  <si>
    <t>Hours Worked</t>
  </si>
  <si>
    <t>Ali</t>
  </si>
  <si>
    <t>Khan</t>
  </si>
  <si>
    <t>Sara</t>
  </si>
  <si>
    <t>Ahmed</t>
  </si>
  <si>
    <t>Usman</t>
  </si>
  <si>
    <t>Malik</t>
  </si>
  <si>
    <t>Ayesha</t>
  </si>
  <si>
    <t>Sheikh</t>
  </si>
  <si>
    <t>Bilal</t>
  </si>
  <si>
    <t>Hussain</t>
  </si>
  <si>
    <t>Fatima</t>
  </si>
  <si>
    <t>Raza</t>
  </si>
  <si>
    <t>Hassan</t>
  </si>
  <si>
    <t>Qureshi</t>
  </si>
  <si>
    <t>Zainab</t>
  </si>
  <si>
    <t>Iqbal</t>
  </si>
  <si>
    <t>Omar</t>
  </si>
  <si>
    <t>Farooq</t>
  </si>
  <si>
    <t>Noor</t>
  </si>
  <si>
    <t>OverTime Hours</t>
  </si>
  <si>
    <t>OverTime Bonus</t>
  </si>
  <si>
    <t>BasicSalary</t>
  </si>
  <si>
    <t>TotalSalary</t>
  </si>
  <si>
    <t>Fahad</t>
  </si>
  <si>
    <t>Asad</t>
  </si>
  <si>
    <t>Amna</t>
  </si>
  <si>
    <t>Zahra</t>
  </si>
  <si>
    <t>Sadia</t>
  </si>
  <si>
    <t>Saad</t>
  </si>
  <si>
    <t>Hamza</t>
  </si>
  <si>
    <t>Maham</t>
  </si>
  <si>
    <t>Nasir</t>
  </si>
  <si>
    <t>Aziz</t>
  </si>
  <si>
    <t>khan</t>
  </si>
  <si>
    <t>JanuaryPay</t>
  </si>
  <si>
    <t>Maximum</t>
  </si>
  <si>
    <t>Minimum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</si>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</sst>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2" fillId="0" borderId="0" xfId="1" applyFont="1"/>
    <xf numFmtId="16" fontId="2" fillId="2" borderId="0" xfId="0" applyNumberFormat="1" applyFont="1" applyFill="1"/>
    <xf numFmtId="0" fontId="0" fillId="2" borderId="0" xfId="0" applyFill="1"/>
    <xf numFmtId="16" fontId="2" fillId="3" borderId="0" xfId="1" applyNumberFormat="1" applyFont="1" applyFill="1"/>
    <xf numFmtId="0" fontId="0" fillId="3" borderId="0" xfId="1" applyNumberFormat="1" applyFont="1" applyFill="1"/>
    <xf numFmtId="16" fontId="2" fillId="4" borderId="0" xfId="1" applyNumberFormat="1" applyFont="1" applyFill="1"/>
    <xf numFmtId="44" fontId="0" fillId="4" borderId="0" xfId="1" applyFont="1" applyFill="1"/>
    <xf numFmtId="16" fontId="2" fillId="5" borderId="0" xfId="0" applyNumberFormat="1" applyFont="1" applyFill="1"/>
    <xf numFmtId="44" fontId="0" fillId="5" borderId="0" xfId="0" applyNumberFormat="1" applyFill="1"/>
    <xf numFmtId="16" fontId="2" fillId="6" borderId="0" xfId="0" applyNumberFormat="1" applyFont="1" applyFill="1"/>
    <xf numFmtId="44" fontId="0" fillId="6" borderId="0" xfId="0" applyNumberFormat="1" applyFill="1"/>
    <xf numFmtId="0" fontId="0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topLeftCell="A19" zoomScale="104" zoomScaleNormal="50" workbookViewId="0">
      <selection activeCell="G30" sqref="G30"/>
    </sheetView>
  </sheetViews>
  <sheetFormatPr defaultRowHeight="14.5" x14ac:dyDescent="0.35"/>
  <cols>
    <col min="1" max="1" width="26.1796875" customWidth="1"/>
    <col min="2" max="2" width="12.7265625" customWidth="1"/>
    <col min="3" max="3" width="14.453125" customWidth="1"/>
    <col min="4" max="4" width="13" bestFit="1" customWidth="1"/>
    <col min="5" max="8" width="13" customWidth="1"/>
    <col min="9" max="9" width="16.81640625" customWidth="1"/>
    <col min="10" max="12" width="13" customWidth="1"/>
    <col min="13" max="22" width="18.26953125" customWidth="1"/>
    <col min="23" max="23" width="13.6328125" customWidth="1"/>
    <col min="24" max="24" width="17.1796875" customWidth="1"/>
    <col min="25" max="25" width="10.36328125" customWidth="1"/>
    <col min="26" max="26" width="12.54296875" customWidth="1"/>
    <col min="27" max="27" width="16" customWidth="1"/>
    <col min="28" max="28" width="15" customWidth="1"/>
    <col min="29" max="29" width="16.7265625" customWidth="1"/>
  </cols>
  <sheetData>
    <row r="1" spans="1:29" s="3" customFormat="1" x14ac:dyDescent="0.35">
      <c r="A1" s="3" t="s">
        <v>0</v>
      </c>
      <c r="B1" s="3" t="s">
        <v>1</v>
      </c>
      <c r="C1" s="4" t="s">
        <v>2</v>
      </c>
      <c r="D1" s="3" t="s">
        <v>3</v>
      </c>
      <c r="I1" s="4" t="s">
        <v>23</v>
      </c>
      <c r="N1" s="4" t="s">
        <v>25</v>
      </c>
      <c r="O1" s="4"/>
      <c r="P1" s="4"/>
      <c r="Q1" s="4"/>
      <c r="R1" s="4"/>
      <c r="S1" s="3" t="s">
        <v>24</v>
      </c>
      <c r="X1" s="3" t="s">
        <v>26</v>
      </c>
      <c r="Y1" s="4"/>
      <c r="AC1" s="3" t="s">
        <v>38</v>
      </c>
    </row>
    <row r="2" spans="1:29" s="3" customFormat="1" x14ac:dyDescent="0.35">
      <c r="C2" s="4"/>
      <c r="D2" s="5">
        <v>46023</v>
      </c>
      <c r="E2" s="5">
        <v>46030</v>
      </c>
      <c r="F2" s="5">
        <v>46037</v>
      </c>
      <c r="G2" s="5">
        <v>46044</v>
      </c>
      <c r="H2" s="5">
        <v>46051</v>
      </c>
      <c r="I2" s="7">
        <v>46023</v>
      </c>
      <c r="J2" s="7">
        <f>I2+7</f>
        <v>46030</v>
      </c>
      <c r="K2" s="7">
        <f t="shared" ref="K2:M2" si="0">J2+7</f>
        <v>46037</v>
      </c>
      <c r="L2" s="7">
        <f t="shared" si="0"/>
        <v>46044</v>
      </c>
      <c r="M2" s="7">
        <f t="shared" si="0"/>
        <v>46051</v>
      </c>
      <c r="N2" s="9">
        <v>46023</v>
      </c>
      <c r="O2" s="9">
        <f>N2+7</f>
        <v>46030</v>
      </c>
      <c r="P2" s="9">
        <f t="shared" ref="P2:R2" si="1">O2+7</f>
        <v>46037</v>
      </c>
      <c r="Q2" s="9">
        <f t="shared" si="1"/>
        <v>46044</v>
      </c>
      <c r="R2" s="9">
        <f t="shared" si="1"/>
        <v>46051</v>
      </c>
      <c r="S2" s="11">
        <v>46023</v>
      </c>
      <c r="T2" s="11">
        <f>S2+7</f>
        <v>46030</v>
      </c>
      <c r="U2" s="11">
        <f t="shared" ref="U2:W2" si="2">T2+7</f>
        <v>46037</v>
      </c>
      <c r="V2" s="11">
        <f t="shared" si="2"/>
        <v>46044</v>
      </c>
      <c r="W2" s="11">
        <f t="shared" si="2"/>
        <v>46051</v>
      </c>
      <c r="X2" s="13">
        <v>46023</v>
      </c>
      <c r="Y2" s="13">
        <f>X2+7</f>
        <v>46030</v>
      </c>
      <c r="Z2" s="13">
        <f t="shared" ref="Z2:AB2" si="3">Y2+7</f>
        <v>46037</v>
      </c>
      <c r="AA2" s="13">
        <f t="shared" si="3"/>
        <v>46044</v>
      </c>
      <c r="AB2" s="13">
        <f t="shared" si="3"/>
        <v>46051</v>
      </c>
    </row>
    <row r="3" spans="1:29" x14ac:dyDescent="0.35">
      <c r="A3" t="s">
        <v>4</v>
      </c>
      <c r="B3" t="s">
        <v>5</v>
      </c>
      <c r="C3" s="1">
        <v>5.5</v>
      </c>
      <c r="D3" s="6">
        <v>40</v>
      </c>
      <c r="E3" s="6">
        <v>71</v>
      </c>
      <c r="F3" s="6">
        <v>54</v>
      </c>
      <c r="G3" s="6">
        <v>44</v>
      </c>
      <c r="H3" s="6">
        <v>37</v>
      </c>
      <c r="I3" s="8">
        <f>IF(D3&gt;40,D3-40,0)</f>
        <v>0</v>
      </c>
      <c r="J3" s="8">
        <f>IF(E3&gt;40,E3-40,0)</f>
        <v>31</v>
      </c>
      <c r="K3" s="8">
        <f>IF(F3&gt;40,F3-40,0)</f>
        <v>14</v>
      </c>
      <c r="L3" s="8">
        <f>IF(G3&gt;40,G3-40,0)</f>
        <v>4</v>
      </c>
      <c r="M3" s="8">
        <f>IF(H3&gt;40,H3-40,0)</f>
        <v>0</v>
      </c>
      <c r="N3" s="10">
        <f t="shared" ref="N3:N23" si="4">C3*D3</f>
        <v>220</v>
      </c>
      <c r="O3" s="10">
        <f>$C3*E3</f>
        <v>390.5</v>
      </c>
      <c r="P3" s="10">
        <f t="shared" ref="P3:R3" si="5">$C3*F3</f>
        <v>297</v>
      </c>
      <c r="Q3" s="10">
        <f t="shared" si="5"/>
        <v>242</v>
      </c>
      <c r="R3" s="10">
        <f t="shared" si="5"/>
        <v>203.5</v>
      </c>
      <c r="S3" s="12">
        <f t="shared" ref="S3:S23" si="6">0.5*C3*I3</f>
        <v>0</v>
      </c>
      <c r="T3" s="12">
        <f>0.5*$C3*J3</f>
        <v>85.25</v>
      </c>
      <c r="U3" s="12">
        <f t="shared" ref="U3:W3" si="7">0.5*$C3*K3</f>
        <v>38.5</v>
      </c>
      <c r="V3" s="12">
        <f t="shared" si="7"/>
        <v>11</v>
      </c>
      <c r="W3" s="12">
        <f t="shared" si="7"/>
        <v>0</v>
      </c>
      <c r="X3" s="14">
        <f>N3+S3</f>
        <v>220</v>
      </c>
      <c r="Y3" s="14">
        <f t="shared" ref="Y3:AB3" si="8">O3+T3</f>
        <v>475.75</v>
      </c>
      <c r="Z3" s="14">
        <f t="shared" si="8"/>
        <v>335.5</v>
      </c>
      <c r="AA3" s="14">
        <f t="shared" si="8"/>
        <v>253</v>
      </c>
      <c r="AB3" s="14">
        <f t="shared" si="8"/>
        <v>203.5</v>
      </c>
      <c r="AC3" s="2">
        <f>SUM(X3:AB3)</f>
        <v>1487.75</v>
      </c>
    </row>
    <row r="4" spans="1:29" x14ac:dyDescent="0.35">
      <c r="A4" t="s">
        <v>6</v>
      </c>
      <c r="B4" t="s">
        <v>7</v>
      </c>
      <c r="C4" s="1">
        <v>6</v>
      </c>
      <c r="D4" s="6">
        <v>38</v>
      </c>
      <c r="E4" s="6">
        <v>70</v>
      </c>
      <c r="F4" s="6">
        <v>40</v>
      </c>
      <c r="G4" s="6">
        <v>46</v>
      </c>
      <c r="H4" s="6">
        <v>69</v>
      </c>
      <c r="I4" s="8">
        <f t="shared" ref="I4:I23" si="9">IF(D4&gt;40,D4-40,0)</f>
        <v>0</v>
      </c>
      <c r="J4" s="8">
        <f t="shared" ref="J4:J23" si="10">IF(E4&gt;40,E4-40,0)</f>
        <v>30</v>
      </c>
      <c r="K4" s="8">
        <f t="shared" ref="K4:K23" si="11">IF(F4&gt;40,F4-40,0)</f>
        <v>0</v>
      </c>
      <c r="L4" s="8">
        <f t="shared" ref="L4:L23" si="12">IF(G4&gt;40,G4-40,0)</f>
        <v>6</v>
      </c>
      <c r="M4" s="8">
        <f t="shared" ref="M4:M23" si="13">IF(H4&gt;40,H4-40,0)</f>
        <v>29</v>
      </c>
      <c r="N4" s="10">
        <f t="shared" si="4"/>
        <v>228</v>
      </c>
      <c r="O4" s="10">
        <f t="shared" ref="O4:O23" si="14">$C4*E4</f>
        <v>420</v>
      </c>
      <c r="P4" s="10">
        <f t="shared" ref="P4:P23" si="15">$C4*F4</f>
        <v>240</v>
      </c>
      <c r="Q4" s="10">
        <f t="shared" ref="Q4:Q23" si="16">$C4*G4</f>
        <v>276</v>
      </c>
      <c r="R4" s="10">
        <f t="shared" ref="R4:R23" si="17">$C4*H4</f>
        <v>414</v>
      </c>
      <c r="S4" s="12">
        <f t="shared" si="6"/>
        <v>0</v>
      </c>
      <c r="T4" s="12">
        <f t="shared" ref="T4:T23" si="18">0.5*$C4*J4</f>
        <v>90</v>
      </c>
      <c r="U4" s="12">
        <f t="shared" ref="U4:U23" si="19">0.5*$C4*K4</f>
        <v>0</v>
      </c>
      <c r="V4" s="12">
        <f t="shared" ref="V4:V23" si="20">0.5*$C4*L4</f>
        <v>18</v>
      </c>
      <c r="W4" s="12">
        <f t="shared" ref="W4:W23" si="21">0.5*$C4*M4</f>
        <v>87</v>
      </c>
      <c r="X4" s="14">
        <f t="shared" ref="X4:X23" si="22">N4+S4</f>
        <v>228</v>
      </c>
      <c r="Y4" s="14">
        <f t="shared" ref="Y4:Y23" si="23">O4+T4</f>
        <v>510</v>
      </c>
      <c r="Z4" s="14">
        <f t="shared" ref="Z4:Z23" si="24">P4+U4</f>
        <v>240</v>
      </c>
      <c r="AA4" s="14">
        <f t="shared" ref="AA4:AA23" si="25">Q4+V4</f>
        <v>294</v>
      </c>
      <c r="AB4" s="14">
        <f t="shared" ref="AB4:AB23" si="26">R4+W4</f>
        <v>501</v>
      </c>
      <c r="AC4" s="2">
        <f t="shared" ref="AC4:AC23" si="27">SUM(X4:AB4)</f>
        <v>1773</v>
      </c>
    </row>
    <row r="5" spans="1:29" x14ac:dyDescent="0.35">
      <c r="A5" t="s">
        <v>8</v>
      </c>
      <c r="B5" t="s">
        <v>9</v>
      </c>
      <c r="C5" s="1">
        <v>4.75</v>
      </c>
      <c r="D5" s="6">
        <v>45</v>
      </c>
      <c r="E5" s="6">
        <v>69</v>
      </c>
      <c r="F5" s="6">
        <v>60</v>
      </c>
      <c r="G5" s="6">
        <v>70</v>
      </c>
      <c r="H5" s="6">
        <v>74</v>
      </c>
      <c r="I5" s="8">
        <f t="shared" si="9"/>
        <v>5</v>
      </c>
      <c r="J5" s="8">
        <f t="shared" si="10"/>
        <v>29</v>
      </c>
      <c r="K5" s="8">
        <f t="shared" si="11"/>
        <v>20</v>
      </c>
      <c r="L5" s="8">
        <f t="shared" si="12"/>
        <v>30</v>
      </c>
      <c r="M5" s="8">
        <f t="shared" si="13"/>
        <v>34</v>
      </c>
      <c r="N5" s="10">
        <f t="shared" si="4"/>
        <v>213.75</v>
      </c>
      <c r="O5" s="10">
        <f t="shared" si="14"/>
        <v>327.75</v>
      </c>
      <c r="P5" s="10">
        <f t="shared" si="15"/>
        <v>285</v>
      </c>
      <c r="Q5" s="10">
        <f t="shared" si="16"/>
        <v>332.5</v>
      </c>
      <c r="R5" s="10">
        <f t="shared" si="17"/>
        <v>351.5</v>
      </c>
      <c r="S5" s="12">
        <f t="shared" si="6"/>
        <v>11.875</v>
      </c>
      <c r="T5" s="12">
        <f t="shared" si="18"/>
        <v>68.875</v>
      </c>
      <c r="U5" s="12">
        <f t="shared" si="19"/>
        <v>47.5</v>
      </c>
      <c r="V5" s="12">
        <f t="shared" si="20"/>
        <v>71.25</v>
      </c>
      <c r="W5" s="12">
        <f t="shared" si="21"/>
        <v>80.75</v>
      </c>
      <c r="X5" s="14">
        <f t="shared" si="22"/>
        <v>225.625</v>
      </c>
      <c r="Y5" s="14">
        <f t="shared" si="23"/>
        <v>396.625</v>
      </c>
      <c r="Z5" s="14">
        <f t="shared" si="24"/>
        <v>332.5</v>
      </c>
      <c r="AA5" s="14">
        <f t="shared" si="25"/>
        <v>403.75</v>
      </c>
      <c r="AB5" s="14">
        <f t="shared" si="26"/>
        <v>432.25</v>
      </c>
      <c r="AC5" s="2">
        <f t="shared" si="27"/>
        <v>1790.75</v>
      </c>
    </row>
    <row r="6" spans="1:29" x14ac:dyDescent="0.35">
      <c r="A6" t="s">
        <v>10</v>
      </c>
      <c r="B6" t="s">
        <v>11</v>
      </c>
      <c r="C6" s="1">
        <v>5.25</v>
      </c>
      <c r="D6" s="6">
        <v>42</v>
      </c>
      <c r="E6" s="6">
        <v>68</v>
      </c>
      <c r="F6" s="6">
        <v>73</v>
      </c>
      <c r="G6" s="6">
        <v>67</v>
      </c>
      <c r="H6" s="6">
        <v>48</v>
      </c>
      <c r="I6" s="8">
        <f t="shared" si="9"/>
        <v>2</v>
      </c>
      <c r="J6" s="8">
        <f t="shared" si="10"/>
        <v>28</v>
      </c>
      <c r="K6" s="8">
        <f t="shared" si="11"/>
        <v>33</v>
      </c>
      <c r="L6" s="8">
        <f t="shared" si="12"/>
        <v>27</v>
      </c>
      <c r="M6" s="8">
        <f t="shared" si="13"/>
        <v>8</v>
      </c>
      <c r="N6" s="10">
        <f t="shared" si="4"/>
        <v>220.5</v>
      </c>
      <c r="O6" s="10">
        <f t="shared" si="14"/>
        <v>357</v>
      </c>
      <c r="P6" s="10">
        <f t="shared" si="15"/>
        <v>383.25</v>
      </c>
      <c r="Q6" s="10">
        <f t="shared" si="16"/>
        <v>351.75</v>
      </c>
      <c r="R6" s="10">
        <f t="shared" si="17"/>
        <v>252</v>
      </c>
      <c r="S6" s="12">
        <f t="shared" si="6"/>
        <v>5.25</v>
      </c>
      <c r="T6" s="12">
        <f t="shared" si="18"/>
        <v>73.5</v>
      </c>
      <c r="U6" s="12">
        <f t="shared" si="19"/>
        <v>86.625</v>
      </c>
      <c r="V6" s="12">
        <f t="shared" si="20"/>
        <v>70.875</v>
      </c>
      <c r="W6" s="12">
        <f t="shared" si="21"/>
        <v>21</v>
      </c>
      <c r="X6" s="14">
        <f t="shared" si="22"/>
        <v>225.75</v>
      </c>
      <c r="Y6" s="14">
        <f t="shared" si="23"/>
        <v>430.5</v>
      </c>
      <c r="Z6" s="14">
        <f t="shared" si="24"/>
        <v>469.875</v>
      </c>
      <c r="AA6" s="14">
        <f t="shared" si="25"/>
        <v>422.625</v>
      </c>
      <c r="AB6" s="14">
        <f t="shared" si="26"/>
        <v>273</v>
      </c>
      <c r="AC6" s="2">
        <f t="shared" si="27"/>
        <v>1821.75</v>
      </c>
    </row>
    <row r="7" spans="1:29" x14ac:dyDescent="0.35">
      <c r="A7" t="s">
        <v>12</v>
      </c>
      <c r="B7" t="s">
        <v>13</v>
      </c>
      <c r="C7" s="1">
        <v>6.5</v>
      </c>
      <c r="D7" s="6">
        <v>36</v>
      </c>
      <c r="E7" s="6">
        <v>48</v>
      </c>
      <c r="F7" s="6">
        <v>54</v>
      </c>
      <c r="G7" s="6">
        <v>52</v>
      </c>
      <c r="H7" s="6">
        <v>48</v>
      </c>
      <c r="I7" s="8">
        <f t="shared" si="9"/>
        <v>0</v>
      </c>
      <c r="J7" s="8">
        <f t="shared" si="10"/>
        <v>8</v>
      </c>
      <c r="K7" s="8">
        <f t="shared" si="11"/>
        <v>14</v>
      </c>
      <c r="L7" s="8">
        <f t="shared" si="12"/>
        <v>12</v>
      </c>
      <c r="M7" s="8">
        <f t="shared" si="13"/>
        <v>8</v>
      </c>
      <c r="N7" s="10">
        <f t="shared" si="4"/>
        <v>234</v>
      </c>
      <c r="O7" s="10">
        <f t="shared" si="14"/>
        <v>312</v>
      </c>
      <c r="P7" s="10">
        <f t="shared" si="15"/>
        <v>351</v>
      </c>
      <c r="Q7" s="10">
        <f t="shared" si="16"/>
        <v>338</v>
      </c>
      <c r="R7" s="10">
        <f t="shared" si="17"/>
        <v>312</v>
      </c>
      <c r="S7" s="12">
        <f t="shared" si="6"/>
        <v>0</v>
      </c>
      <c r="T7" s="12">
        <f t="shared" si="18"/>
        <v>26</v>
      </c>
      <c r="U7" s="12">
        <f t="shared" si="19"/>
        <v>45.5</v>
      </c>
      <c r="V7" s="12">
        <f t="shared" si="20"/>
        <v>39</v>
      </c>
      <c r="W7" s="12">
        <f t="shared" si="21"/>
        <v>26</v>
      </c>
      <c r="X7" s="14">
        <f t="shared" si="22"/>
        <v>234</v>
      </c>
      <c r="Y7" s="14">
        <f t="shared" si="23"/>
        <v>338</v>
      </c>
      <c r="Z7" s="14">
        <f t="shared" si="24"/>
        <v>396.5</v>
      </c>
      <c r="AA7" s="14">
        <f t="shared" si="25"/>
        <v>377</v>
      </c>
      <c r="AB7" s="14">
        <f t="shared" si="26"/>
        <v>338</v>
      </c>
      <c r="AC7" s="2">
        <f t="shared" si="27"/>
        <v>1683.5</v>
      </c>
    </row>
    <row r="8" spans="1:29" x14ac:dyDescent="0.35">
      <c r="A8" t="s">
        <v>14</v>
      </c>
      <c r="B8" t="s">
        <v>15</v>
      </c>
      <c r="C8" s="1">
        <v>5</v>
      </c>
      <c r="D8" s="6">
        <v>40</v>
      </c>
      <c r="E8" s="6">
        <v>45</v>
      </c>
      <c r="F8" s="6">
        <v>38</v>
      </c>
      <c r="G8" s="6">
        <v>58</v>
      </c>
      <c r="H8" s="6">
        <v>67</v>
      </c>
      <c r="I8" s="8">
        <f t="shared" si="9"/>
        <v>0</v>
      </c>
      <c r="J8" s="8">
        <f t="shared" si="10"/>
        <v>5</v>
      </c>
      <c r="K8" s="8">
        <f t="shared" si="11"/>
        <v>0</v>
      </c>
      <c r="L8" s="8">
        <f t="shared" si="12"/>
        <v>18</v>
      </c>
      <c r="M8" s="8">
        <f t="shared" si="13"/>
        <v>27</v>
      </c>
      <c r="N8" s="10">
        <f t="shared" si="4"/>
        <v>200</v>
      </c>
      <c r="O8" s="10">
        <f t="shared" si="14"/>
        <v>225</v>
      </c>
      <c r="P8" s="10">
        <f t="shared" si="15"/>
        <v>190</v>
      </c>
      <c r="Q8" s="10">
        <f t="shared" si="16"/>
        <v>290</v>
      </c>
      <c r="R8" s="10">
        <f t="shared" si="17"/>
        <v>335</v>
      </c>
      <c r="S8" s="12">
        <f t="shared" si="6"/>
        <v>0</v>
      </c>
      <c r="T8" s="12">
        <f t="shared" si="18"/>
        <v>12.5</v>
      </c>
      <c r="U8" s="12">
        <f t="shared" si="19"/>
        <v>0</v>
      </c>
      <c r="V8" s="12">
        <f t="shared" si="20"/>
        <v>45</v>
      </c>
      <c r="W8" s="12">
        <f t="shared" si="21"/>
        <v>67.5</v>
      </c>
      <c r="X8" s="14">
        <f t="shared" si="22"/>
        <v>200</v>
      </c>
      <c r="Y8" s="14">
        <f t="shared" si="23"/>
        <v>237.5</v>
      </c>
      <c r="Z8" s="14">
        <f t="shared" si="24"/>
        <v>190</v>
      </c>
      <c r="AA8" s="14">
        <f t="shared" si="25"/>
        <v>335</v>
      </c>
      <c r="AB8" s="14">
        <f t="shared" si="26"/>
        <v>402.5</v>
      </c>
      <c r="AC8" s="2">
        <f t="shared" si="27"/>
        <v>1365</v>
      </c>
    </row>
    <row r="9" spans="1:29" x14ac:dyDescent="0.35">
      <c r="A9" t="s">
        <v>16</v>
      </c>
      <c r="B9" t="s">
        <v>17</v>
      </c>
      <c r="C9" s="1">
        <v>7</v>
      </c>
      <c r="D9" s="6">
        <v>30</v>
      </c>
      <c r="E9" s="6">
        <v>60</v>
      </c>
      <c r="F9" s="6">
        <v>61</v>
      </c>
      <c r="G9" s="6">
        <v>61</v>
      </c>
      <c r="H9" s="6">
        <v>70</v>
      </c>
      <c r="I9" s="8">
        <f t="shared" si="9"/>
        <v>0</v>
      </c>
      <c r="J9" s="8">
        <f t="shared" si="10"/>
        <v>20</v>
      </c>
      <c r="K9" s="8">
        <f t="shared" si="11"/>
        <v>21</v>
      </c>
      <c r="L9" s="8">
        <f t="shared" si="12"/>
        <v>21</v>
      </c>
      <c r="M9" s="8">
        <f t="shared" si="13"/>
        <v>30</v>
      </c>
      <c r="N9" s="10">
        <f t="shared" si="4"/>
        <v>210</v>
      </c>
      <c r="O9" s="10">
        <f t="shared" si="14"/>
        <v>420</v>
      </c>
      <c r="P9" s="10">
        <f t="shared" si="15"/>
        <v>427</v>
      </c>
      <c r="Q9" s="10">
        <f t="shared" si="16"/>
        <v>427</v>
      </c>
      <c r="R9" s="10">
        <f t="shared" si="17"/>
        <v>490</v>
      </c>
      <c r="S9" s="12">
        <f t="shared" si="6"/>
        <v>0</v>
      </c>
      <c r="T9" s="12">
        <f t="shared" si="18"/>
        <v>70</v>
      </c>
      <c r="U9" s="12">
        <f t="shared" si="19"/>
        <v>73.5</v>
      </c>
      <c r="V9" s="12">
        <f t="shared" si="20"/>
        <v>73.5</v>
      </c>
      <c r="W9" s="12">
        <f t="shared" si="21"/>
        <v>105</v>
      </c>
      <c r="X9" s="14">
        <f t="shared" si="22"/>
        <v>210</v>
      </c>
      <c r="Y9" s="14">
        <f t="shared" si="23"/>
        <v>490</v>
      </c>
      <c r="Z9" s="14">
        <f t="shared" si="24"/>
        <v>500.5</v>
      </c>
      <c r="AA9" s="14">
        <f t="shared" si="25"/>
        <v>500.5</v>
      </c>
      <c r="AB9" s="14">
        <f t="shared" si="26"/>
        <v>595</v>
      </c>
      <c r="AC9" s="2">
        <f t="shared" si="27"/>
        <v>2296</v>
      </c>
    </row>
    <row r="10" spans="1:29" x14ac:dyDescent="0.35">
      <c r="A10" t="s">
        <v>18</v>
      </c>
      <c r="B10" t="s">
        <v>19</v>
      </c>
      <c r="C10" s="1">
        <v>5.75</v>
      </c>
      <c r="D10" s="6">
        <v>41</v>
      </c>
      <c r="E10" s="6">
        <v>47</v>
      </c>
      <c r="F10" s="6">
        <v>75</v>
      </c>
      <c r="G10" s="6">
        <v>55</v>
      </c>
      <c r="H10" s="6">
        <v>62</v>
      </c>
      <c r="I10" s="8">
        <f t="shared" si="9"/>
        <v>1</v>
      </c>
      <c r="J10" s="8">
        <f t="shared" si="10"/>
        <v>7</v>
      </c>
      <c r="K10" s="8">
        <f t="shared" si="11"/>
        <v>35</v>
      </c>
      <c r="L10" s="8">
        <f t="shared" si="12"/>
        <v>15</v>
      </c>
      <c r="M10" s="8">
        <f t="shared" si="13"/>
        <v>22</v>
      </c>
      <c r="N10" s="10">
        <f t="shared" si="4"/>
        <v>235.75</v>
      </c>
      <c r="O10" s="10">
        <f t="shared" si="14"/>
        <v>270.25</v>
      </c>
      <c r="P10" s="10">
        <f t="shared" si="15"/>
        <v>431.25</v>
      </c>
      <c r="Q10" s="10">
        <f t="shared" si="16"/>
        <v>316.25</v>
      </c>
      <c r="R10" s="10">
        <f t="shared" si="17"/>
        <v>356.5</v>
      </c>
      <c r="S10" s="12">
        <f t="shared" si="6"/>
        <v>2.875</v>
      </c>
      <c r="T10" s="12">
        <f t="shared" si="18"/>
        <v>20.125</v>
      </c>
      <c r="U10" s="12">
        <f t="shared" si="19"/>
        <v>100.625</v>
      </c>
      <c r="V10" s="12">
        <f t="shared" si="20"/>
        <v>43.125</v>
      </c>
      <c r="W10" s="12">
        <f t="shared" si="21"/>
        <v>63.25</v>
      </c>
      <c r="X10" s="14">
        <f t="shared" si="22"/>
        <v>238.625</v>
      </c>
      <c r="Y10" s="14">
        <f t="shared" si="23"/>
        <v>290.375</v>
      </c>
      <c r="Z10" s="14">
        <f t="shared" si="24"/>
        <v>531.875</v>
      </c>
      <c r="AA10" s="14">
        <f t="shared" si="25"/>
        <v>359.375</v>
      </c>
      <c r="AB10" s="14">
        <f t="shared" si="26"/>
        <v>419.75</v>
      </c>
      <c r="AC10" s="2">
        <f t="shared" si="27"/>
        <v>1840</v>
      </c>
    </row>
    <row r="11" spans="1:29" x14ac:dyDescent="0.35">
      <c r="A11" t="s">
        <v>20</v>
      </c>
      <c r="B11" t="s">
        <v>21</v>
      </c>
      <c r="C11" s="1">
        <v>6.25</v>
      </c>
      <c r="D11" s="6">
        <v>39</v>
      </c>
      <c r="E11" s="6">
        <v>45</v>
      </c>
      <c r="F11" s="6">
        <v>42</v>
      </c>
      <c r="G11" s="6">
        <v>41</v>
      </c>
      <c r="H11" s="6">
        <v>57</v>
      </c>
      <c r="I11" s="8">
        <f t="shared" si="9"/>
        <v>0</v>
      </c>
      <c r="J11" s="8">
        <f t="shared" si="10"/>
        <v>5</v>
      </c>
      <c r="K11" s="8">
        <f t="shared" si="11"/>
        <v>2</v>
      </c>
      <c r="L11" s="8">
        <f t="shared" si="12"/>
        <v>1</v>
      </c>
      <c r="M11" s="8">
        <f t="shared" si="13"/>
        <v>17</v>
      </c>
      <c r="N11" s="10">
        <f t="shared" si="4"/>
        <v>243.75</v>
      </c>
      <c r="O11" s="10">
        <f t="shared" si="14"/>
        <v>281.25</v>
      </c>
      <c r="P11" s="10">
        <f t="shared" si="15"/>
        <v>262.5</v>
      </c>
      <c r="Q11" s="10">
        <f t="shared" si="16"/>
        <v>256.25</v>
      </c>
      <c r="R11" s="10">
        <f t="shared" si="17"/>
        <v>356.25</v>
      </c>
      <c r="S11" s="12">
        <f t="shared" si="6"/>
        <v>0</v>
      </c>
      <c r="T11" s="12">
        <f t="shared" si="18"/>
        <v>15.625</v>
      </c>
      <c r="U11" s="12">
        <f t="shared" si="19"/>
        <v>6.25</v>
      </c>
      <c r="V11" s="12">
        <f t="shared" si="20"/>
        <v>3.125</v>
      </c>
      <c r="W11" s="12">
        <f t="shared" si="21"/>
        <v>53.125</v>
      </c>
      <c r="X11" s="14">
        <f t="shared" si="22"/>
        <v>243.75</v>
      </c>
      <c r="Y11" s="14">
        <f t="shared" si="23"/>
        <v>296.875</v>
      </c>
      <c r="Z11" s="14">
        <f t="shared" si="24"/>
        <v>268.75</v>
      </c>
      <c r="AA11" s="14">
        <f t="shared" si="25"/>
        <v>259.375</v>
      </c>
      <c r="AB11" s="14">
        <f t="shared" si="26"/>
        <v>409.375</v>
      </c>
      <c r="AC11" s="2">
        <f t="shared" si="27"/>
        <v>1478.125</v>
      </c>
    </row>
    <row r="12" spans="1:29" x14ac:dyDescent="0.35">
      <c r="A12" t="s">
        <v>22</v>
      </c>
      <c r="B12" t="s">
        <v>4</v>
      </c>
      <c r="C12" s="1">
        <v>4.5</v>
      </c>
      <c r="D12" s="6">
        <v>44</v>
      </c>
      <c r="E12" s="6">
        <v>44</v>
      </c>
      <c r="F12" s="6">
        <v>40</v>
      </c>
      <c r="G12" s="6">
        <v>66</v>
      </c>
      <c r="H12" s="6">
        <v>57</v>
      </c>
      <c r="I12" s="8">
        <f t="shared" si="9"/>
        <v>4</v>
      </c>
      <c r="J12" s="8">
        <f t="shared" si="10"/>
        <v>4</v>
      </c>
      <c r="K12" s="8">
        <f t="shared" si="11"/>
        <v>0</v>
      </c>
      <c r="L12" s="8">
        <f t="shared" si="12"/>
        <v>26</v>
      </c>
      <c r="M12" s="8">
        <f t="shared" si="13"/>
        <v>17</v>
      </c>
      <c r="N12" s="10">
        <f t="shared" si="4"/>
        <v>198</v>
      </c>
      <c r="O12" s="10">
        <f t="shared" si="14"/>
        <v>198</v>
      </c>
      <c r="P12" s="10">
        <f t="shared" si="15"/>
        <v>180</v>
      </c>
      <c r="Q12" s="10">
        <f t="shared" si="16"/>
        <v>297</v>
      </c>
      <c r="R12" s="10">
        <f t="shared" si="17"/>
        <v>256.5</v>
      </c>
      <c r="S12" s="12">
        <f>0.5*$C12*I12</f>
        <v>9</v>
      </c>
      <c r="T12" s="12">
        <f t="shared" si="18"/>
        <v>9</v>
      </c>
      <c r="U12" s="12">
        <f t="shared" si="19"/>
        <v>0</v>
      </c>
      <c r="V12" s="12">
        <f t="shared" si="20"/>
        <v>58.5</v>
      </c>
      <c r="W12" s="12">
        <f t="shared" si="21"/>
        <v>38.25</v>
      </c>
      <c r="X12" s="14">
        <f t="shared" si="22"/>
        <v>207</v>
      </c>
      <c r="Y12" s="14">
        <f t="shared" si="23"/>
        <v>207</v>
      </c>
      <c r="Z12" s="14">
        <f t="shared" si="24"/>
        <v>180</v>
      </c>
      <c r="AA12" s="14">
        <f t="shared" si="25"/>
        <v>355.5</v>
      </c>
      <c r="AB12" s="14">
        <f t="shared" si="26"/>
        <v>294.75</v>
      </c>
      <c r="AC12" s="2">
        <f t="shared" si="27"/>
        <v>1244.25</v>
      </c>
    </row>
    <row r="13" spans="1:29" x14ac:dyDescent="0.35">
      <c r="A13" t="s">
        <v>7</v>
      </c>
      <c r="B13" t="s">
        <v>35</v>
      </c>
      <c r="C13" s="1">
        <v>5.99</v>
      </c>
      <c r="D13" s="6">
        <v>40</v>
      </c>
      <c r="E13" s="6">
        <v>41</v>
      </c>
      <c r="F13" s="6">
        <v>49</v>
      </c>
      <c r="G13" s="6">
        <v>66</v>
      </c>
      <c r="H13" s="6">
        <v>43</v>
      </c>
      <c r="I13" s="8">
        <f t="shared" si="9"/>
        <v>0</v>
      </c>
      <c r="J13" s="8">
        <f t="shared" si="10"/>
        <v>1</v>
      </c>
      <c r="K13" s="8">
        <f t="shared" si="11"/>
        <v>9</v>
      </c>
      <c r="L13" s="8">
        <f t="shared" si="12"/>
        <v>26</v>
      </c>
      <c r="M13" s="8">
        <f t="shared" si="13"/>
        <v>3</v>
      </c>
      <c r="N13" s="10">
        <f t="shared" si="4"/>
        <v>239.60000000000002</v>
      </c>
      <c r="O13" s="10">
        <f t="shared" si="14"/>
        <v>245.59</v>
      </c>
      <c r="P13" s="10">
        <f t="shared" si="15"/>
        <v>293.51</v>
      </c>
      <c r="Q13" s="10">
        <f t="shared" si="16"/>
        <v>395.34000000000003</v>
      </c>
      <c r="R13" s="10">
        <f t="shared" si="17"/>
        <v>257.57</v>
      </c>
      <c r="S13" s="12">
        <f t="shared" ref="S13:S23" si="28">0.5*$C13*I13</f>
        <v>0</v>
      </c>
      <c r="T13" s="12">
        <f t="shared" si="18"/>
        <v>2.9950000000000001</v>
      </c>
      <c r="U13" s="12">
        <f t="shared" si="19"/>
        <v>26.955000000000002</v>
      </c>
      <c r="V13" s="12">
        <f t="shared" si="20"/>
        <v>77.87</v>
      </c>
      <c r="W13" s="12">
        <f t="shared" si="21"/>
        <v>8.9849999999999994</v>
      </c>
      <c r="X13" s="14">
        <f t="shared" si="22"/>
        <v>239.60000000000002</v>
      </c>
      <c r="Y13" s="14">
        <f t="shared" si="23"/>
        <v>248.58500000000001</v>
      </c>
      <c r="Z13" s="14">
        <f t="shared" si="24"/>
        <v>320.46499999999997</v>
      </c>
      <c r="AA13" s="14">
        <f t="shared" si="25"/>
        <v>473.21000000000004</v>
      </c>
      <c r="AB13" s="14">
        <f t="shared" si="26"/>
        <v>266.55500000000001</v>
      </c>
      <c r="AC13" s="2">
        <f t="shared" si="27"/>
        <v>1548.4150000000002</v>
      </c>
    </row>
    <row r="14" spans="1:29" x14ac:dyDescent="0.35">
      <c r="A14" s="15" t="s">
        <v>27</v>
      </c>
      <c r="B14" s="2" t="s">
        <v>37</v>
      </c>
      <c r="C14" s="1">
        <v>6.11</v>
      </c>
      <c r="D14" s="6">
        <v>80</v>
      </c>
      <c r="E14" s="6">
        <v>62</v>
      </c>
      <c r="F14" s="6">
        <v>69</v>
      </c>
      <c r="G14" s="6">
        <v>43</v>
      </c>
      <c r="H14" s="6">
        <v>53</v>
      </c>
      <c r="I14" s="8">
        <f t="shared" si="9"/>
        <v>40</v>
      </c>
      <c r="J14" s="8">
        <f t="shared" si="10"/>
        <v>22</v>
      </c>
      <c r="K14" s="8">
        <f t="shared" si="11"/>
        <v>29</v>
      </c>
      <c r="L14" s="8">
        <f t="shared" si="12"/>
        <v>3</v>
      </c>
      <c r="M14" s="8">
        <f t="shared" si="13"/>
        <v>13</v>
      </c>
      <c r="N14" s="10">
        <f t="shared" si="4"/>
        <v>488.8</v>
      </c>
      <c r="O14" s="10">
        <f t="shared" si="14"/>
        <v>378.82</v>
      </c>
      <c r="P14" s="10">
        <f t="shared" si="15"/>
        <v>421.59000000000003</v>
      </c>
      <c r="Q14" s="10">
        <f t="shared" si="16"/>
        <v>262.73</v>
      </c>
      <c r="R14" s="10">
        <f t="shared" si="17"/>
        <v>323.83000000000004</v>
      </c>
      <c r="S14" s="12">
        <f t="shared" si="28"/>
        <v>122.2</v>
      </c>
      <c r="T14" s="12">
        <f t="shared" si="18"/>
        <v>67.210000000000008</v>
      </c>
      <c r="U14" s="12">
        <f t="shared" si="19"/>
        <v>88.594999999999999</v>
      </c>
      <c r="V14" s="12">
        <f t="shared" si="20"/>
        <v>9.1650000000000009</v>
      </c>
      <c r="W14" s="12">
        <f t="shared" si="21"/>
        <v>39.715000000000003</v>
      </c>
      <c r="X14" s="14">
        <f t="shared" si="22"/>
        <v>611</v>
      </c>
      <c r="Y14" s="14">
        <f t="shared" si="23"/>
        <v>446.03</v>
      </c>
      <c r="Z14" s="14">
        <f t="shared" si="24"/>
        <v>510.18500000000006</v>
      </c>
      <c r="AA14" s="14">
        <f t="shared" si="25"/>
        <v>271.89500000000004</v>
      </c>
      <c r="AB14" s="14">
        <f t="shared" si="26"/>
        <v>363.54500000000007</v>
      </c>
      <c r="AC14" s="2">
        <f t="shared" si="27"/>
        <v>2202.6550000000002</v>
      </c>
    </row>
    <row r="15" spans="1:29" x14ac:dyDescent="0.35">
      <c r="A15" s="15" t="s">
        <v>28</v>
      </c>
      <c r="B15" s="2" t="s">
        <v>36</v>
      </c>
      <c r="C15" s="1">
        <v>4.99</v>
      </c>
      <c r="D15" s="6">
        <v>63</v>
      </c>
      <c r="E15" s="6">
        <v>72</v>
      </c>
      <c r="F15" s="6">
        <v>74</v>
      </c>
      <c r="G15" s="6">
        <v>56</v>
      </c>
      <c r="H15" s="6">
        <v>50</v>
      </c>
      <c r="I15" s="8">
        <f t="shared" si="9"/>
        <v>23</v>
      </c>
      <c r="J15" s="8">
        <f t="shared" si="10"/>
        <v>32</v>
      </c>
      <c r="K15" s="8">
        <f t="shared" si="11"/>
        <v>34</v>
      </c>
      <c r="L15" s="8">
        <f t="shared" si="12"/>
        <v>16</v>
      </c>
      <c r="M15" s="8">
        <f t="shared" si="13"/>
        <v>10</v>
      </c>
      <c r="N15" s="10">
        <f t="shared" si="4"/>
        <v>314.37</v>
      </c>
      <c r="O15" s="10">
        <f t="shared" si="14"/>
        <v>359.28000000000003</v>
      </c>
      <c r="P15" s="10">
        <f t="shared" si="15"/>
        <v>369.26</v>
      </c>
      <c r="Q15" s="10">
        <f t="shared" si="16"/>
        <v>279.44</v>
      </c>
      <c r="R15" s="10">
        <f t="shared" si="17"/>
        <v>249.5</v>
      </c>
      <c r="S15" s="12">
        <f t="shared" si="28"/>
        <v>57.385000000000005</v>
      </c>
      <c r="T15" s="12">
        <f t="shared" si="18"/>
        <v>79.84</v>
      </c>
      <c r="U15" s="12">
        <f t="shared" si="19"/>
        <v>84.83</v>
      </c>
      <c r="V15" s="12">
        <f t="shared" si="20"/>
        <v>39.92</v>
      </c>
      <c r="W15" s="12">
        <f t="shared" si="21"/>
        <v>24.950000000000003</v>
      </c>
      <c r="X15" s="14">
        <f t="shared" si="22"/>
        <v>371.755</v>
      </c>
      <c r="Y15" s="14">
        <f t="shared" si="23"/>
        <v>439.12</v>
      </c>
      <c r="Z15" s="14">
        <f t="shared" si="24"/>
        <v>454.09</v>
      </c>
      <c r="AA15" s="14">
        <f t="shared" si="25"/>
        <v>319.36</v>
      </c>
      <c r="AB15" s="14">
        <f t="shared" si="26"/>
        <v>274.45</v>
      </c>
      <c r="AC15" s="2">
        <f t="shared" si="27"/>
        <v>1858.7749999999999</v>
      </c>
    </row>
    <row r="16" spans="1:29" x14ac:dyDescent="0.35">
      <c r="A16" s="15" t="s">
        <v>4</v>
      </c>
      <c r="B16" s="2" t="s">
        <v>9</v>
      </c>
      <c r="C16" s="1">
        <v>8.7799999999999994</v>
      </c>
      <c r="D16" s="6">
        <v>44</v>
      </c>
      <c r="E16" s="6">
        <v>78</v>
      </c>
      <c r="F16" s="6">
        <v>46</v>
      </c>
      <c r="G16" s="6">
        <v>67</v>
      </c>
      <c r="H16" s="6">
        <v>54</v>
      </c>
      <c r="I16" s="8">
        <f t="shared" si="9"/>
        <v>4</v>
      </c>
      <c r="J16" s="8">
        <f t="shared" si="10"/>
        <v>38</v>
      </c>
      <c r="K16" s="8">
        <f t="shared" si="11"/>
        <v>6</v>
      </c>
      <c r="L16" s="8">
        <f t="shared" si="12"/>
        <v>27</v>
      </c>
      <c r="M16" s="8">
        <f t="shared" si="13"/>
        <v>14</v>
      </c>
      <c r="N16" s="10">
        <f t="shared" si="4"/>
        <v>386.32</v>
      </c>
      <c r="O16" s="10">
        <f t="shared" si="14"/>
        <v>684.83999999999992</v>
      </c>
      <c r="P16" s="10">
        <f t="shared" si="15"/>
        <v>403.88</v>
      </c>
      <c r="Q16" s="10">
        <f t="shared" si="16"/>
        <v>588.26</v>
      </c>
      <c r="R16" s="10">
        <f t="shared" si="17"/>
        <v>474.11999999999995</v>
      </c>
      <c r="S16" s="12">
        <f t="shared" si="28"/>
        <v>17.559999999999999</v>
      </c>
      <c r="T16" s="12">
        <f t="shared" si="18"/>
        <v>166.82</v>
      </c>
      <c r="U16" s="12">
        <f t="shared" si="19"/>
        <v>26.339999999999996</v>
      </c>
      <c r="V16" s="12">
        <f t="shared" si="20"/>
        <v>118.52999999999999</v>
      </c>
      <c r="W16" s="12">
        <f t="shared" si="21"/>
        <v>61.459999999999994</v>
      </c>
      <c r="X16" s="14">
        <f t="shared" si="22"/>
        <v>403.88</v>
      </c>
      <c r="Y16" s="14">
        <f t="shared" si="23"/>
        <v>851.65999999999985</v>
      </c>
      <c r="Z16" s="14">
        <f t="shared" si="24"/>
        <v>430.21999999999997</v>
      </c>
      <c r="AA16" s="14">
        <f t="shared" si="25"/>
        <v>706.79</v>
      </c>
      <c r="AB16" s="14">
        <f t="shared" si="26"/>
        <v>535.57999999999993</v>
      </c>
      <c r="AC16" s="2">
        <f t="shared" si="27"/>
        <v>2928.13</v>
      </c>
    </row>
    <row r="17" spans="1:29" x14ac:dyDescent="0.35">
      <c r="A17" s="15" t="s">
        <v>29</v>
      </c>
      <c r="B17" s="2" t="s">
        <v>30</v>
      </c>
      <c r="C17" s="1">
        <v>9</v>
      </c>
      <c r="D17" s="6">
        <v>77</v>
      </c>
      <c r="E17" s="6">
        <v>80</v>
      </c>
      <c r="F17" s="6">
        <v>77</v>
      </c>
      <c r="G17" s="6">
        <v>57</v>
      </c>
      <c r="H17" s="6">
        <v>72</v>
      </c>
      <c r="I17" s="8">
        <f t="shared" si="9"/>
        <v>37</v>
      </c>
      <c r="J17" s="8">
        <f t="shared" si="10"/>
        <v>40</v>
      </c>
      <c r="K17" s="8">
        <f t="shared" si="11"/>
        <v>37</v>
      </c>
      <c r="L17" s="8">
        <f t="shared" si="12"/>
        <v>17</v>
      </c>
      <c r="M17" s="8">
        <f t="shared" si="13"/>
        <v>32</v>
      </c>
      <c r="N17" s="10">
        <f t="shared" si="4"/>
        <v>693</v>
      </c>
      <c r="O17" s="10">
        <f t="shared" si="14"/>
        <v>720</v>
      </c>
      <c r="P17" s="10">
        <f t="shared" si="15"/>
        <v>693</v>
      </c>
      <c r="Q17" s="10">
        <f t="shared" si="16"/>
        <v>513</v>
      </c>
      <c r="R17" s="10">
        <f t="shared" si="17"/>
        <v>648</v>
      </c>
      <c r="S17" s="12">
        <f t="shared" si="28"/>
        <v>166.5</v>
      </c>
      <c r="T17" s="12">
        <f t="shared" si="18"/>
        <v>180</v>
      </c>
      <c r="U17" s="12">
        <f t="shared" si="19"/>
        <v>166.5</v>
      </c>
      <c r="V17" s="12">
        <f t="shared" si="20"/>
        <v>76.5</v>
      </c>
      <c r="W17" s="12">
        <f t="shared" si="21"/>
        <v>144</v>
      </c>
      <c r="X17" s="14">
        <f t="shared" si="22"/>
        <v>859.5</v>
      </c>
      <c r="Y17" s="14">
        <f t="shared" si="23"/>
        <v>900</v>
      </c>
      <c r="Z17" s="14">
        <f t="shared" si="24"/>
        <v>859.5</v>
      </c>
      <c r="AA17" s="14">
        <f t="shared" si="25"/>
        <v>589.5</v>
      </c>
      <c r="AB17" s="14">
        <f t="shared" si="26"/>
        <v>792</v>
      </c>
      <c r="AC17" s="2">
        <f t="shared" si="27"/>
        <v>4000.5</v>
      </c>
    </row>
    <row r="18" spans="1:29" x14ac:dyDescent="0.35">
      <c r="A18" s="15" t="s">
        <v>30</v>
      </c>
      <c r="B18" s="2" t="s">
        <v>11</v>
      </c>
      <c r="C18" s="1">
        <v>5.87</v>
      </c>
      <c r="D18" s="6">
        <v>58</v>
      </c>
      <c r="E18" s="6">
        <v>48</v>
      </c>
      <c r="F18" s="6">
        <v>71</v>
      </c>
      <c r="G18" s="6">
        <v>48</v>
      </c>
      <c r="H18" s="6">
        <v>72</v>
      </c>
      <c r="I18" s="8">
        <f t="shared" si="9"/>
        <v>18</v>
      </c>
      <c r="J18" s="8">
        <f t="shared" si="10"/>
        <v>8</v>
      </c>
      <c r="K18" s="8">
        <f t="shared" si="11"/>
        <v>31</v>
      </c>
      <c r="L18" s="8">
        <f t="shared" si="12"/>
        <v>8</v>
      </c>
      <c r="M18" s="8">
        <f t="shared" si="13"/>
        <v>32</v>
      </c>
      <c r="N18" s="10">
        <f t="shared" si="4"/>
        <v>340.46</v>
      </c>
      <c r="O18" s="10">
        <f t="shared" si="14"/>
        <v>281.76</v>
      </c>
      <c r="P18" s="10">
        <f t="shared" si="15"/>
        <v>416.77</v>
      </c>
      <c r="Q18" s="10">
        <f t="shared" si="16"/>
        <v>281.76</v>
      </c>
      <c r="R18" s="10">
        <f t="shared" si="17"/>
        <v>422.64</v>
      </c>
      <c r="S18" s="12">
        <f t="shared" si="28"/>
        <v>52.83</v>
      </c>
      <c r="T18" s="12">
        <f t="shared" si="18"/>
        <v>23.48</v>
      </c>
      <c r="U18" s="12">
        <f t="shared" si="19"/>
        <v>90.984999999999999</v>
      </c>
      <c r="V18" s="12">
        <f t="shared" si="20"/>
        <v>23.48</v>
      </c>
      <c r="W18" s="12">
        <f t="shared" si="21"/>
        <v>93.92</v>
      </c>
      <c r="X18" s="14">
        <f t="shared" si="22"/>
        <v>393.28999999999996</v>
      </c>
      <c r="Y18" s="14">
        <f t="shared" si="23"/>
        <v>305.24</v>
      </c>
      <c r="Z18" s="14">
        <f t="shared" si="24"/>
        <v>507.755</v>
      </c>
      <c r="AA18" s="14">
        <f t="shared" si="25"/>
        <v>305.24</v>
      </c>
      <c r="AB18" s="14">
        <f t="shared" si="26"/>
        <v>516.55999999999995</v>
      </c>
      <c r="AC18" s="2">
        <f t="shared" si="27"/>
        <v>2028.0849999999998</v>
      </c>
    </row>
    <row r="19" spans="1:29" x14ac:dyDescent="0.35">
      <c r="A19" s="15" t="s">
        <v>14</v>
      </c>
      <c r="B19" s="2" t="s">
        <v>18</v>
      </c>
      <c r="C19" s="1">
        <v>6.87</v>
      </c>
      <c r="D19" s="6">
        <v>50</v>
      </c>
      <c r="E19" s="6">
        <v>73</v>
      </c>
      <c r="F19" s="6">
        <v>44</v>
      </c>
      <c r="G19" s="6">
        <v>74</v>
      </c>
      <c r="H19" s="6">
        <v>60</v>
      </c>
      <c r="I19" s="8">
        <f t="shared" si="9"/>
        <v>10</v>
      </c>
      <c r="J19" s="8">
        <f t="shared" si="10"/>
        <v>33</v>
      </c>
      <c r="K19" s="8">
        <f t="shared" si="11"/>
        <v>4</v>
      </c>
      <c r="L19" s="8">
        <f t="shared" si="12"/>
        <v>34</v>
      </c>
      <c r="M19" s="8">
        <f t="shared" si="13"/>
        <v>20</v>
      </c>
      <c r="N19" s="10">
        <f t="shared" si="4"/>
        <v>343.5</v>
      </c>
      <c r="O19" s="10">
        <f t="shared" si="14"/>
        <v>501.51</v>
      </c>
      <c r="P19" s="10">
        <f t="shared" si="15"/>
        <v>302.28000000000003</v>
      </c>
      <c r="Q19" s="10">
        <f t="shared" si="16"/>
        <v>508.38</v>
      </c>
      <c r="R19" s="10">
        <f t="shared" si="17"/>
        <v>412.2</v>
      </c>
      <c r="S19" s="12">
        <f t="shared" si="28"/>
        <v>34.35</v>
      </c>
      <c r="T19" s="12">
        <f t="shared" si="18"/>
        <v>113.355</v>
      </c>
      <c r="U19" s="12">
        <f t="shared" si="19"/>
        <v>13.74</v>
      </c>
      <c r="V19" s="12">
        <f t="shared" si="20"/>
        <v>116.79</v>
      </c>
      <c r="W19" s="12">
        <f t="shared" si="21"/>
        <v>68.7</v>
      </c>
      <c r="X19" s="14">
        <f t="shared" si="22"/>
        <v>377.85</v>
      </c>
      <c r="Y19" s="14">
        <f t="shared" si="23"/>
        <v>614.86500000000001</v>
      </c>
      <c r="Z19" s="14">
        <f t="shared" si="24"/>
        <v>316.02000000000004</v>
      </c>
      <c r="AA19" s="14">
        <f t="shared" si="25"/>
        <v>625.16999999999996</v>
      </c>
      <c r="AB19" s="14">
        <f t="shared" si="26"/>
        <v>480.9</v>
      </c>
      <c r="AC19" s="2">
        <f t="shared" si="27"/>
        <v>2414.8050000000003</v>
      </c>
    </row>
    <row r="20" spans="1:29" x14ac:dyDescent="0.35">
      <c r="A20" s="15" t="s">
        <v>31</v>
      </c>
      <c r="B20" s="2" t="s">
        <v>4</v>
      </c>
      <c r="C20" s="1">
        <v>6.33</v>
      </c>
      <c r="D20" s="6">
        <v>40</v>
      </c>
      <c r="E20" s="6">
        <v>65</v>
      </c>
      <c r="F20" s="6">
        <v>59</v>
      </c>
      <c r="G20" s="6">
        <v>52</v>
      </c>
      <c r="H20" s="6">
        <v>53</v>
      </c>
      <c r="I20" s="8">
        <f t="shared" si="9"/>
        <v>0</v>
      </c>
      <c r="J20" s="8">
        <f t="shared" si="10"/>
        <v>25</v>
      </c>
      <c r="K20" s="8">
        <f t="shared" si="11"/>
        <v>19</v>
      </c>
      <c r="L20" s="8">
        <f t="shared" si="12"/>
        <v>12</v>
      </c>
      <c r="M20" s="8">
        <f t="shared" si="13"/>
        <v>13</v>
      </c>
      <c r="N20" s="10">
        <f t="shared" si="4"/>
        <v>253.2</v>
      </c>
      <c r="O20" s="10">
        <f t="shared" si="14"/>
        <v>411.45</v>
      </c>
      <c r="P20" s="10">
        <f t="shared" si="15"/>
        <v>373.47</v>
      </c>
      <c r="Q20" s="10">
        <f t="shared" si="16"/>
        <v>329.16</v>
      </c>
      <c r="R20" s="10">
        <f t="shared" si="17"/>
        <v>335.49</v>
      </c>
      <c r="S20" s="12">
        <f t="shared" si="28"/>
        <v>0</v>
      </c>
      <c r="T20" s="12">
        <f t="shared" si="18"/>
        <v>79.125</v>
      </c>
      <c r="U20" s="12">
        <f t="shared" si="19"/>
        <v>60.134999999999998</v>
      </c>
      <c r="V20" s="12">
        <f t="shared" si="20"/>
        <v>37.980000000000004</v>
      </c>
      <c r="W20" s="12">
        <f t="shared" si="21"/>
        <v>41.145000000000003</v>
      </c>
      <c r="X20" s="14">
        <f t="shared" si="22"/>
        <v>253.2</v>
      </c>
      <c r="Y20" s="14">
        <f t="shared" si="23"/>
        <v>490.57499999999999</v>
      </c>
      <c r="Z20" s="14">
        <f t="shared" si="24"/>
        <v>433.60500000000002</v>
      </c>
      <c r="AA20" s="14">
        <f t="shared" si="25"/>
        <v>367.14000000000004</v>
      </c>
      <c r="AB20" s="14">
        <f t="shared" si="26"/>
        <v>376.63499999999999</v>
      </c>
      <c r="AC20" s="2">
        <f t="shared" si="27"/>
        <v>1921.1550000000002</v>
      </c>
    </row>
    <row r="21" spans="1:29" x14ac:dyDescent="0.35">
      <c r="A21" s="15" t="s">
        <v>32</v>
      </c>
      <c r="B21" s="2" t="s">
        <v>7</v>
      </c>
      <c r="C21" s="1">
        <v>4.55</v>
      </c>
      <c r="D21" s="6">
        <v>80</v>
      </c>
      <c r="E21" s="6">
        <v>59</v>
      </c>
      <c r="F21" s="6">
        <v>43</v>
      </c>
      <c r="G21" s="6">
        <v>44</v>
      </c>
      <c r="H21" s="6">
        <v>51</v>
      </c>
      <c r="I21" s="8">
        <f t="shared" si="9"/>
        <v>40</v>
      </c>
      <c r="J21" s="8">
        <f t="shared" si="10"/>
        <v>19</v>
      </c>
      <c r="K21" s="8">
        <f t="shared" si="11"/>
        <v>3</v>
      </c>
      <c r="L21" s="8">
        <f t="shared" si="12"/>
        <v>4</v>
      </c>
      <c r="M21" s="8">
        <f t="shared" si="13"/>
        <v>11</v>
      </c>
      <c r="N21" s="10">
        <f>$C21*D21</f>
        <v>364</v>
      </c>
      <c r="O21" s="10">
        <f t="shared" si="14"/>
        <v>268.45</v>
      </c>
      <c r="P21" s="10">
        <f t="shared" si="15"/>
        <v>195.65</v>
      </c>
      <c r="Q21" s="10">
        <f t="shared" si="16"/>
        <v>200.2</v>
      </c>
      <c r="R21" s="10">
        <f t="shared" si="17"/>
        <v>232.04999999999998</v>
      </c>
      <c r="S21" s="12">
        <f t="shared" si="28"/>
        <v>91</v>
      </c>
      <c r="T21" s="12">
        <f t="shared" si="18"/>
        <v>43.225000000000001</v>
      </c>
      <c r="U21" s="12">
        <f t="shared" si="19"/>
        <v>6.8249999999999993</v>
      </c>
      <c r="V21" s="12">
        <f t="shared" si="20"/>
        <v>9.1</v>
      </c>
      <c r="W21" s="12">
        <f t="shared" si="21"/>
        <v>25.024999999999999</v>
      </c>
      <c r="X21" s="14">
        <f t="shared" si="22"/>
        <v>455</v>
      </c>
      <c r="Y21" s="14">
        <f t="shared" si="23"/>
        <v>311.67500000000001</v>
      </c>
      <c r="Z21" s="14">
        <f t="shared" si="24"/>
        <v>202.47499999999999</v>
      </c>
      <c r="AA21" s="14">
        <f t="shared" si="25"/>
        <v>209.29999999999998</v>
      </c>
      <c r="AB21" s="14">
        <f t="shared" si="26"/>
        <v>257.07499999999999</v>
      </c>
      <c r="AC21" s="2">
        <f t="shared" si="27"/>
        <v>1435.5250000000001</v>
      </c>
    </row>
    <row r="22" spans="1:29" x14ac:dyDescent="0.35">
      <c r="A22" s="15" t="s">
        <v>33</v>
      </c>
      <c r="B22" s="2" t="s">
        <v>35</v>
      </c>
      <c r="C22" s="1">
        <v>5.99</v>
      </c>
      <c r="D22" s="6">
        <v>40</v>
      </c>
      <c r="E22" s="6">
        <v>78</v>
      </c>
      <c r="F22" s="6">
        <v>48</v>
      </c>
      <c r="G22" s="6">
        <v>67</v>
      </c>
      <c r="H22" s="6">
        <v>65</v>
      </c>
      <c r="I22" s="8">
        <f t="shared" si="9"/>
        <v>0</v>
      </c>
      <c r="J22" s="8">
        <f t="shared" si="10"/>
        <v>38</v>
      </c>
      <c r="K22" s="8">
        <f t="shared" si="11"/>
        <v>8</v>
      </c>
      <c r="L22" s="8">
        <f t="shared" si="12"/>
        <v>27</v>
      </c>
      <c r="M22" s="8">
        <f t="shared" si="13"/>
        <v>25</v>
      </c>
      <c r="N22" s="10">
        <f t="shared" ref="N22:N23" si="29">$C22*D22</f>
        <v>239.60000000000002</v>
      </c>
      <c r="O22" s="10">
        <f t="shared" ref="O22:O23" si="30">$C22*E22</f>
        <v>467.22</v>
      </c>
      <c r="P22" s="10">
        <f t="shared" ref="P22:P23" si="31">$C22*F22</f>
        <v>287.52</v>
      </c>
      <c r="Q22" s="10">
        <f t="shared" ref="Q22:Q23" si="32">$C22*G22</f>
        <v>401.33000000000004</v>
      </c>
      <c r="R22" s="10">
        <f t="shared" ref="R22:R23" si="33">$C22*H22</f>
        <v>389.35</v>
      </c>
      <c r="S22" s="12">
        <f t="shared" si="28"/>
        <v>0</v>
      </c>
      <c r="T22" s="12">
        <f t="shared" si="18"/>
        <v>113.81</v>
      </c>
      <c r="U22" s="12">
        <f t="shared" si="19"/>
        <v>23.96</v>
      </c>
      <c r="V22" s="12">
        <f t="shared" si="20"/>
        <v>80.865000000000009</v>
      </c>
      <c r="W22" s="12">
        <f t="shared" si="21"/>
        <v>74.875</v>
      </c>
      <c r="X22" s="14">
        <f t="shared" si="22"/>
        <v>239.60000000000002</v>
      </c>
      <c r="Y22" s="14">
        <f t="shared" si="23"/>
        <v>581.03</v>
      </c>
      <c r="Z22" s="14">
        <f t="shared" si="24"/>
        <v>311.47999999999996</v>
      </c>
      <c r="AA22" s="14">
        <f t="shared" si="25"/>
        <v>482.19500000000005</v>
      </c>
      <c r="AB22" s="14">
        <f t="shared" si="26"/>
        <v>464.22500000000002</v>
      </c>
      <c r="AC22" s="2">
        <f t="shared" si="27"/>
        <v>2078.5299999999997</v>
      </c>
    </row>
    <row r="23" spans="1:29" x14ac:dyDescent="0.35">
      <c r="A23" s="15" t="s">
        <v>34</v>
      </c>
      <c r="B23" s="2" t="s">
        <v>19</v>
      </c>
      <c r="C23" s="1">
        <v>9</v>
      </c>
      <c r="D23" s="6">
        <v>64</v>
      </c>
      <c r="E23" s="6">
        <v>78</v>
      </c>
      <c r="F23" s="6">
        <v>76</v>
      </c>
      <c r="G23" s="6">
        <v>41</v>
      </c>
      <c r="H23" s="6">
        <v>40</v>
      </c>
      <c r="I23" s="8">
        <f t="shared" si="9"/>
        <v>24</v>
      </c>
      <c r="J23" s="8">
        <f t="shared" si="10"/>
        <v>38</v>
      </c>
      <c r="K23" s="8">
        <f t="shared" si="11"/>
        <v>36</v>
      </c>
      <c r="L23" s="8">
        <f t="shared" si="12"/>
        <v>1</v>
      </c>
      <c r="M23" s="8">
        <f t="shared" si="13"/>
        <v>0</v>
      </c>
      <c r="N23" s="10">
        <f t="shared" si="29"/>
        <v>576</v>
      </c>
      <c r="O23" s="10">
        <f t="shared" si="30"/>
        <v>702</v>
      </c>
      <c r="P23" s="10">
        <f t="shared" si="31"/>
        <v>684</v>
      </c>
      <c r="Q23" s="10">
        <f t="shared" si="32"/>
        <v>369</v>
      </c>
      <c r="R23" s="10">
        <f t="shared" si="33"/>
        <v>360</v>
      </c>
      <c r="S23" s="12">
        <f t="shared" si="28"/>
        <v>108</v>
      </c>
      <c r="T23" s="12">
        <f t="shared" si="18"/>
        <v>171</v>
      </c>
      <c r="U23" s="12">
        <f t="shared" si="19"/>
        <v>162</v>
      </c>
      <c r="V23" s="12">
        <f t="shared" si="20"/>
        <v>4.5</v>
      </c>
      <c r="W23" s="12">
        <f t="shared" si="21"/>
        <v>0</v>
      </c>
      <c r="X23" s="14">
        <f t="shared" si="22"/>
        <v>684</v>
      </c>
      <c r="Y23" s="14">
        <f t="shared" si="23"/>
        <v>873</v>
      </c>
      <c r="Z23" s="14">
        <f t="shared" si="24"/>
        <v>846</v>
      </c>
      <c r="AA23" s="14">
        <f t="shared" si="25"/>
        <v>373.5</v>
      </c>
      <c r="AB23" s="14">
        <f t="shared" si="26"/>
        <v>360</v>
      </c>
      <c r="AC23" s="2">
        <f t="shared" si="27"/>
        <v>3136.5</v>
      </c>
    </row>
    <row r="25" spans="1:29" x14ac:dyDescent="0.35">
      <c r="A25" t="s">
        <v>39</v>
      </c>
      <c r="C25" s="2">
        <f>MAX(C3:C23)</f>
        <v>9</v>
      </c>
      <c r="D25" s="2">
        <f t="shared" ref="D25:AC25" si="34">MAX(D3:D23)</f>
        <v>80</v>
      </c>
      <c r="E25" s="2">
        <f t="shared" si="34"/>
        <v>80</v>
      </c>
      <c r="F25" s="2">
        <f t="shared" si="34"/>
        <v>77</v>
      </c>
      <c r="G25" s="2">
        <f t="shared" si="34"/>
        <v>74</v>
      </c>
      <c r="H25" s="2">
        <f t="shared" si="34"/>
        <v>74</v>
      </c>
      <c r="I25" s="2">
        <f t="shared" si="34"/>
        <v>40</v>
      </c>
      <c r="J25" s="2">
        <f t="shared" si="34"/>
        <v>40</v>
      </c>
      <c r="K25" s="2">
        <f t="shared" si="34"/>
        <v>37</v>
      </c>
      <c r="L25" s="2">
        <f t="shared" si="34"/>
        <v>34</v>
      </c>
      <c r="M25" s="2">
        <f t="shared" si="34"/>
        <v>34</v>
      </c>
      <c r="N25" s="2">
        <f t="shared" si="34"/>
        <v>693</v>
      </c>
      <c r="O25" s="2">
        <f t="shared" si="34"/>
        <v>720</v>
      </c>
      <c r="P25" s="2">
        <f t="shared" si="34"/>
        <v>693</v>
      </c>
      <c r="Q25" s="2">
        <f t="shared" si="34"/>
        <v>588.26</v>
      </c>
      <c r="R25" s="2">
        <f t="shared" si="34"/>
        <v>648</v>
      </c>
      <c r="S25" s="2">
        <f t="shared" si="34"/>
        <v>166.5</v>
      </c>
      <c r="T25" s="2">
        <f t="shared" si="34"/>
        <v>180</v>
      </c>
      <c r="U25" s="2">
        <f t="shared" si="34"/>
        <v>166.5</v>
      </c>
      <c r="V25" s="2">
        <f t="shared" si="34"/>
        <v>118.52999999999999</v>
      </c>
      <c r="W25" s="2">
        <f t="shared" si="34"/>
        <v>144</v>
      </c>
      <c r="X25" s="2">
        <f t="shared" si="34"/>
        <v>859.5</v>
      </c>
      <c r="Y25" s="2">
        <f t="shared" si="34"/>
        <v>900</v>
      </c>
      <c r="Z25" s="2">
        <f t="shared" si="34"/>
        <v>859.5</v>
      </c>
      <c r="AA25" s="2">
        <f t="shared" si="34"/>
        <v>706.79</v>
      </c>
      <c r="AB25" s="2">
        <f t="shared" si="34"/>
        <v>792</v>
      </c>
      <c r="AC25" s="2">
        <f t="shared" si="34"/>
        <v>4000.5</v>
      </c>
    </row>
    <row r="26" spans="1:29" x14ac:dyDescent="0.35">
      <c r="A26" t="s">
        <v>40</v>
      </c>
      <c r="C26" s="2">
        <f>MIN(C3:C23)</f>
        <v>4.5</v>
      </c>
      <c r="D26" s="2">
        <f t="shared" ref="D26:AC26" si="35">MIN(D3:D23)</f>
        <v>30</v>
      </c>
      <c r="E26" s="2">
        <f t="shared" si="35"/>
        <v>41</v>
      </c>
      <c r="F26" s="2">
        <f t="shared" si="35"/>
        <v>38</v>
      </c>
      <c r="G26" s="2">
        <f t="shared" si="35"/>
        <v>41</v>
      </c>
      <c r="H26" s="2">
        <f t="shared" si="35"/>
        <v>37</v>
      </c>
      <c r="I26" s="2">
        <f t="shared" si="35"/>
        <v>0</v>
      </c>
      <c r="J26" s="2">
        <f t="shared" si="35"/>
        <v>1</v>
      </c>
      <c r="K26" s="2">
        <f t="shared" si="35"/>
        <v>0</v>
      </c>
      <c r="L26" s="2">
        <f t="shared" si="35"/>
        <v>1</v>
      </c>
      <c r="M26" s="2">
        <f t="shared" si="35"/>
        <v>0</v>
      </c>
      <c r="N26" s="2">
        <f t="shared" si="35"/>
        <v>198</v>
      </c>
      <c r="O26" s="2">
        <f t="shared" si="35"/>
        <v>198</v>
      </c>
      <c r="P26" s="2">
        <f t="shared" si="35"/>
        <v>180</v>
      </c>
      <c r="Q26" s="2">
        <f t="shared" si="35"/>
        <v>200.2</v>
      </c>
      <c r="R26" s="2">
        <f t="shared" si="35"/>
        <v>203.5</v>
      </c>
      <c r="S26" s="2">
        <f t="shared" si="35"/>
        <v>0</v>
      </c>
      <c r="T26" s="2">
        <f t="shared" si="35"/>
        <v>2.9950000000000001</v>
      </c>
      <c r="U26" s="2">
        <f t="shared" si="35"/>
        <v>0</v>
      </c>
      <c r="V26" s="2">
        <f t="shared" si="35"/>
        <v>3.125</v>
      </c>
      <c r="W26" s="2">
        <f t="shared" si="35"/>
        <v>0</v>
      </c>
      <c r="X26" s="2">
        <f t="shared" si="35"/>
        <v>200</v>
      </c>
      <c r="Y26" s="2">
        <f t="shared" si="35"/>
        <v>207</v>
      </c>
      <c r="Z26" s="2">
        <f t="shared" si="35"/>
        <v>180</v>
      </c>
      <c r="AA26" s="2">
        <f t="shared" si="35"/>
        <v>209.29999999999998</v>
      </c>
      <c r="AB26" s="2">
        <f t="shared" si="35"/>
        <v>203.5</v>
      </c>
      <c r="AC26" s="2">
        <f t="shared" si="35"/>
        <v>1244.25</v>
      </c>
    </row>
    <row r="27" spans="1:29" x14ac:dyDescent="0.35">
      <c r="A27" t="s">
        <v>41</v>
      </c>
      <c r="C27" s="2">
        <f>AVERAGE(C3:C23)</f>
        <v>6.1895238095238101</v>
      </c>
      <c r="D27" s="2">
        <f t="shared" ref="D27:AC27" si="36">AVERAGE(D3:D23)</f>
        <v>49.095238095238095</v>
      </c>
      <c r="E27" s="2">
        <f t="shared" si="36"/>
        <v>61.952380952380949</v>
      </c>
      <c r="F27" s="2">
        <f t="shared" si="36"/>
        <v>56.80952380952381</v>
      </c>
      <c r="G27" s="2">
        <f t="shared" si="36"/>
        <v>55.952380952380949</v>
      </c>
      <c r="H27" s="2">
        <f t="shared" si="36"/>
        <v>57.238095238095241</v>
      </c>
      <c r="I27" s="2">
        <f t="shared" si="36"/>
        <v>9.9047619047619051</v>
      </c>
      <c r="J27" s="2">
        <f t="shared" si="36"/>
        <v>21.952380952380953</v>
      </c>
      <c r="K27" s="2">
        <f t="shared" si="36"/>
        <v>16.904761904761905</v>
      </c>
      <c r="L27" s="2">
        <f t="shared" si="36"/>
        <v>15.952380952380953</v>
      </c>
      <c r="M27" s="2">
        <f t="shared" si="36"/>
        <v>17.38095238095238</v>
      </c>
      <c r="N27" s="2">
        <f t="shared" si="36"/>
        <v>306.79047619047623</v>
      </c>
      <c r="O27" s="2">
        <f t="shared" si="36"/>
        <v>391.55571428571437</v>
      </c>
      <c r="P27" s="2">
        <f t="shared" si="36"/>
        <v>356.56809523809522</v>
      </c>
      <c r="Q27" s="2">
        <f t="shared" si="36"/>
        <v>345.49285714285713</v>
      </c>
      <c r="R27" s="2">
        <f t="shared" si="36"/>
        <v>353.90476190476193</v>
      </c>
      <c r="S27" s="2">
        <f t="shared" si="36"/>
        <v>32.325000000000003</v>
      </c>
      <c r="T27" s="2">
        <f t="shared" si="36"/>
        <v>71.987380952380946</v>
      </c>
      <c r="U27" s="2">
        <f t="shared" si="36"/>
        <v>54.731666666666676</v>
      </c>
      <c r="V27" s="2">
        <f t="shared" si="36"/>
        <v>48.955952380952375</v>
      </c>
      <c r="W27" s="2">
        <f t="shared" si="36"/>
        <v>53.554761904761918</v>
      </c>
      <c r="X27" s="2">
        <f t="shared" si="36"/>
        <v>339.11547619047622</v>
      </c>
      <c r="Y27" s="2">
        <f t="shared" si="36"/>
        <v>463.54309523809519</v>
      </c>
      <c r="Z27" s="2">
        <f t="shared" si="36"/>
        <v>411.29976190476202</v>
      </c>
      <c r="AA27" s="2">
        <f t="shared" si="36"/>
        <v>394.44880952380947</v>
      </c>
      <c r="AB27" s="2">
        <f t="shared" si="36"/>
        <v>407.45952380952377</v>
      </c>
      <c r="AC27" s="2">
        <f t="shared" si="36"/>
        <v>2015.8666666666668</v>
      </c>
    </row>
    <row r="28" spans="1:29" x14ac:dyDescent="0.35">
      <c r="A28" t="s">
        <v>42</v>
      </c>
      <c r="C28" s="2">
        <f>SUM(C3:C23)</f>
        <v>129.98000000000002</v>
      </c>
      <c r="D28" s="2">
        <f t="shared" ref="D28:AC28" si="37">SUM(D3:D23)</f>
        <v>1031</v>
      </c>
      <c r="E28" s="2">
        <f t="shared" si="37"/>
        <v>1301</v>
      </c>
      <c r="F28" s="2">
        <f t="shared" si="37"/>
        <v>1193</v>
      </c>
      <c r="G28" s="2">
        <f t="shared" si="37"/>
        <v>1175</v>
      </c>
      <c r="H28" s="2">
        <f t="shared" si="37"/>
        <v>1202</v>
      </c>
      <c r="I28" s="2">
        <f t="shared" si="37"/>
        <v>208</v>
      </c>
      <c r="J28" s="2">
        <f t="shared" si="37"/>
        <v>461</v>
      </c>
      <c r="K28" s="2">
        <f t="shared" si="37"/>
        <v>355</v>
      </c>
      <c r="L28" s="2">
        <f t="shared" si="37"/>
        <v>335</v>
      </c>
      <c r="M28" s="2">
        <f t="shared" si="37"/>
        <v>365</v>
      </c>
      <c r="N28" s="2">
        <f t="shared" si="37"/>
        <v>6442.6</v>
      </c>
      <c r="O28" s="2">
        <f t="shared" si="37"/>
        <v>8222.6700000000019</v>
      </c>
      <c r="P28" s="2">
        <f t="shared" si="37"/>
        <v>7487.93</v>
      </c>
      <c r="Q28" s="2">
        <f t="shared" si="37"/>
        <v>7255.35</v>
      </c>
      <c r="R28" s="2">
        <f t="shared" si="37"/>
        <v>7432</v>
      </c>
      <c r="S28" s="2">
        <f t="shared" si="37"/>
        <v>678.82500000000005</v>
      </c>
      <c r="T28" s="2">
        <f t="shared" si="37"/>
        <v>1511.7349999999999</v>
      </c>
      <c r="U28" s="2">
        <f t="shared" si="37"/>
        <v>1149.3650000000002</v>
      </c>
      <c r="V28" s="2">
        <f t="shared" si="37"/>
        <v>1028.0749999999998</v>
      </c>
      <c r="W28" s="2">
        <f t="shared" si="37"/>
        <v>1124.6500000000003</v>
      </c>
      <c r="X28" s="2">
        <f t="shared" si="37"/>
        <v>7121.4250000000011</v>
      </c>
      <c r="Y28" s="2">
        <f t="shared" si="37"/>
        <v>9734.4049999999988</v>
      </c>
      <c r="Z28" s="2">
        <f t="shared" si="37"/>
        <v>8637.2950000000019</v>
      </c>
      <c r="AA28" s="2">
        <f t="shared" si="37"/>
        <v>8283.4249999999993</v>
      </c>
      <c r="AB28" s="2">
        <f t="shared" si="37"/>
        <v>8556.65</v>
      </c>
      <c r="AC28" s="2">
        <f t="shared" si="37"/>
        <v>42333.200000000004</v>
      </c>
    </row>
  </sheetData>
  <pageMargins left="0.75" right="0.75" top="1" bottom="1" header="0.5" footer="0.5"/>
  <ignoredErrors>
    <ignoredError sqref="D25:D26 E25:H25 E26:F26 G26:H26 D27:D28 E27:E28 F27:F28 G27:G28 H27:H2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RAFIA MEHMOODA</cp:lastModifiedBy>
  <dcterms:created xsi:type="dcterms:W3CDTF">2026-05-05T05:04:53Z</dcterms:created>
  <dcterms:modified xsi:type="dcterms:W3CDTF">2026-05-07T04:25:18Z</dcterms:modified>
</cp:coreProperties>
</file>